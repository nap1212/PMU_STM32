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ukui\kitani_project\PMU_project\PMU_STM32\PCB_STM\README\"/>
    </mc:Choice>
  </mc:AlternateContent>
  <xr:revisionPtr revIDLastSave="0" documentId="8_{F32C10BA-AF4F-473E-9269-F716458BF5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部品表" sheetId="1" r:id="rId1"/>
    <sheet name="代替・安価候補" sheetId="2" r:id="rId2"/>
  </sheets>
  <definedNames>
    <definedName name="_xlnm._FilterDatabase" localSheetId="0" hidden="1">部品表!$A$4:$L$36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6" i="1" l="1"/>
  <c r="K35" i="1"/>
  <c r="K34" i="1"/>
  <c r="K33" i="1"/>
  <c r="K32" i="1"/>
  <c r="K31" i="1"/>
  <c r="K29" i="1"/>
  <c r="K28" i="1"/>
  <c r="K27" i="1"/>
  <c r="K25" i="1"/>
  <c r="K24" i="1"/>
  <c r="K23" i="1"/>
  <c r="K22" i="1"/>
  <c r="K20" i="1"/>
  <c r="K19" i="1"/>
  <c r="K18" i="1"/>
  <c r="K16" i="1"/>
  <c r="K15" i="1"/>
  <c r="K14" i="1"/>
  <c r="K13" i="1"/>
  <c r="K12" i="1"/>
  <c r="K11" i="1"/>
  <c r="K10" i="1"/>
  <c r="K8" i="1"/>
  <c r="K7" i="1"/>
  <c r="K6" i="1"/>
  <c r="K37" i="1" s="1"/>
</calcChain>
</file>

<file path=xl/sharedStrings.xml><?xml version="1.0" encoding="utf-8"?>
<sst xmlns="http://schemas.openxmlformats.org/spreadsheetml/2006/main" count="277" uniqueCount="232">
  <si>
    <t>単相PMU 試作機 部品表 — Version 2（電圧のみ / 電流計測なし）</t>
  </si>
  <si>
    <t>出典: PMU_Specification_V2_VoltageOnly.md (V2.0) / PMU_BOM_Parts_V2_VoltageOnly.md　★黄色セル（単価）に金額を入力すると「金額」列が自動計算されます。</t>
  </si>
  <si>
    <t>No.</t>
  </si>
  <si>
    <t>種類</t>
  </si>
  <si>
    <t>部品名・用途</t>
  </si>
  <si>
    <t>部品記号</t>
  </si>
  <si>
    <t>商品名・型番</t>
  </si>
  <si>
    <t>メーカー</t>
  </si>
  <si>
    <t>主要スペック</t>
  </si>
  <si>
    <t>必要数</t>
  </si>
  <si>
    <t>個数(発注)</t>
  </si>
  <si>
    <t>単価(円)</t>
  </si>
  <si>
    <t>金額(円)</t>
  </si>
  <si>
    <t>購入先・備考</t>
  </si>
  <si>
    <t>1. 抵抗（薄膜 0.1% / ≤25ppm・精度死守）</t>
  </si>
  <si>
    <t>抵抗</t>
  </si>
  <si>
    <t>分圧 上側 Rhi（3直列＝1.53MΩ）</t>
  </si>
  <si>
    <t>R1, R2, R3</t>
  </si>
  <si>
    <t>RG2012P-514-B-T5</t>
  </si>
  <si>
    <t>Susumu</t>
  </si>
  <si>
    <t>510kΩ / 0.1% / 25ppm / 0805 / 150V</t>
  </si>
  <si>
    <t>各33V分担。薄膜必須</t>
  </si>
  <si>
    <t>分圧 下側 Rlo（分圧比 1/301）</t>
  </si>
  <si>
    <t>R4</t>
  </si>
  <si>
    <t>RG2012P-512-B-T5</t>
  </si>
  <si>
    <t>5.1kΩ / 0.1% / 25ppm / 0805</t>
  </si>
  <si>
    <t>5.11kΩ(E96)可</t>
  </si>
  <si>
    <t>AAF 直列（電圧ch）</t>
  </si>
  <si>
    <t>R5, R6</t>
  </si>
  <si>
    <t>RG2012P-102-B-T5</t>
  </si>
  <si>
    <t>1kΩ / 0.1% / 25ppm / 0805</t>
  </si>
  <si>
    <t>同型番で揃える（群遅延）</t>
  </si>
  <si>
    <t>2. コンデンサ</t>
  </si>
  <si>
    <t>MLCC</t>
  </si>
  <si>
    <t>各IC電源デカップリング</t>
  </si>
  <si>
    <t>C9,C11,C17,C19,C21,C26 ＋AMC低圧側</t>
  </si>
  <si>
    <t>GRM21BR61H104KA01L</t>
  </si>
  <si>
    <t>Murata</t>
  </si>
  <si>
    <t>0.1µF / X5R / 50V / 0805</t>
  </si>
  <si>
    <t>安価版: Samsung CL21B104KBCNNNC</t>
  </si>
  <si>
    <t>ADC AVDD/DVDD/CAP・AMC3330 VDD2/高圧側</t>
  </si>
  <si>
    <t>C8,C10,C12,C20 ＋AMC高圧側</t>
  </si>
  <si>
    <t>GRM21BR61H105KA12L</t>
  </si>
  <si>
    <t>1µF / X5R / 50V / 0805</t>
  </si>
  <si>
    <t>安価版: Samsung CL21A105KBFNNNE</t>
  </si>
  <si>
    <t>LDO入出力・AVDDバルク・πフィルタ</t>
  </si>
  <si>
    <t>C16,C18,C25,C45,C46</t>
  </si>
  <si>
    <t>GRM21BR61E106KA73L</t>
  </si>
  <si>
    <t>10µF / X5R / 25V / 0805</t>
  </si>
  <si>
    <t>低ESR必須。安価版: Samsung CL21A106KAYNNNE</t>
  </si>
  <si>
    <t>電解</t>
  </si>
  <si>
    <t>HLK出力バルク・ESP32 5Vバルク</t>
  </si>
  <si>
    <t>C43, C24</t>
  </si>
  <si>
    <t>EEU-FR1C101</t>
  </si>
  <si>
    <t>Panasonic</t>
  </si>
  <si>
    <t>100µF / 低ESR電解 / 16V / φ6.3</t>
  </si>
  <si>
    <t>代替: Nichicon UPW1C101MPD。極性注意</t>
  </si>
  <si>
    <t>ESP32直近バルク（送信ピーク吸収）</t>
  </si>
  <si>
    <t>C44</t>
  </si>
  <si>
    <t>UPW1C471MPD6</t>
  </si>
  <si>
    <t>Nichicon</t>
  </si>
  <si>
    <t>470µF / 低ESR電解 / 16V / φ10</t>
  </si>
  <si>
    <t>代替: Panasonic EEU-FR1E471(25V)。極性注意</t>
  </si>
  <si>
    <t>AAF 差動C（★C0G死守）</t>
  </si>
  <si>
    <t>C1</t>
  </si>
  <si>
    <t>C3216C0G1H473J160AA</t>
  </si>
  <si>
    <t>TDK</t>
  </si>
  <si>
    <t>47nF / C0G / 50V / 1206</t>
  </si>
  <si>
    <t>★473=47nF（472は4.7nFで誤り）／代替 WIMA FKP2</t>
  </si>
  <si>
    <t>AAF コモンモードC・AMC高圧側</t>
  </si>
  <si>
    <t>C2, C3 ＋AMC高圧側</t>
  </si>
  <si>
    <t>GRM2165C1H102JA01J</t>
  </si>
  <si>
    <t>1nF / C0G / 50V / 0805</t>
  </si>
  <si>
    <t>安価版: Samsung CL21C102JBANNNC</t>
  </si>
  <si>
    <t>3. 半導体（IC）</t>
  </si>
  <si>
    <t>IC</t>
  </si>
  <si>
    <t>絶縁アンプ（電圧ch・固定ゲイン2.0）</t>
  </si>
  <si>
    <t>U1</t>
  </si>
  <si>
    <t>AMC3330DWE</t>
  </si>
  <si>
    <t>Texas Instruments</t>
  </si>
  <si>
    <t>SOIC-16W (DWE) / ±1V入力 / 絶縁DC-DC内蔵</t>
  </si>
  <si>
    <t>リール品は AMC3330DWER</t>
  </si>
  <si>
    <t>24bit ΔΣ ADC（ch0のみ使用）</t>
  </si>
  <si>
    <t>U2</t>
  </si>
  <si>
    <t>ADS131M02IPWR</t>
  </si>
  <si>
    <t>2ch / 24bit / TSSOP-20(PW) / SPI</t>
  </si>
  <si>
    <t>小リール ADS131M02IPWT／1ch版 ADS131M01可</t>
  </si>
  <si>
    <t>アナログ用 低ノイズLDO（3.3V固定）</t>
  </si>
  <si>
    <t>U4</t>
  </si>
  <si>
    <t>ADP7142AUJZ-3.3</t>
  </si>
  <si>
    <t>Analog Devices</t>
  </si>
  <si>
    <t>TSOT-23-5 / 40V / 200mA / 入出力C≥2.2µF</t>
  </si>
  <si>
    <t>代替: ADP7142ACPZ-3.3(SSピン有)</t>
  </si>
  <si>
    <t>4. 電源部・保護部品</t>
  </si>
  <si>
    <t>モジュール</t>
  </si>
  <si>
    <t>絶縁AC-DCモジュール（自給電の主電源）</t>
  </si>
  <si>
    <t>U6</t>
  </si>
  <si>
    <t>HLK-10M05</t>
  </si>
  <si>
    <t>Hi-Link</t>
  </si>
  <si>
    <t>AC100-240V→DC5V 2A(10W) / 強化絶縁</t>
  </si>
  <si>
    <t>KiCadフットプリントは要カスタム作成</t>
  </si>
  <si>
    <t>ビーズ</t>
  </si>
  <si>
    <t>πフィルタ 直列素子（全電流が通る）</t>
  </si>
  <si>
    <t>L1</t>
  </si>
  <si>
    <t>BLM31PG601SN1</t>
  </si>
  <si>
    <t>1206 / 600Ω@100MHz / 3A / 低DCR</t>
  </si>
  <si>
    <t>代替: TDK MPZ2012S601AT。0603信号用は不可</t>
  </si>
  <si>
    <t>ヒューズ</t>
  </si>
  <si>
    <t>電源分岐ヒューズ 本体（HLK AC入力保護）</t>
  </si>
  <si>
    <t>F2</t>
  </si>
  <si>
    <t>0215.500MXP</t>
  </si>
  <si>
    <t>Littelfuse</t>
  </si>
  <si>
    <t>5×20mm / T0.5A / AC250V / スローブロー</t>
  </si>
  <si>
    <t>L(活線)側のみに挿入</t>
  </si>
  <si>
    <t>ホルダ</t>
  </si>
  <si>
    <t>F2用 インライン・ヒューズホルダ</t>
  </si>
  <si>
    <t>F2ホルダ</t>
  </si>
  <si>
    <t>BF301</t>
  </si>
  <si>
    <t>MPD</t>
  </si>
  <si>
    <t>5×20mm / 500V / 10A / ワイヤリード</t>
  </si>
  <si>
    <t>基板非実装。代替 BF303 / 01500274Z</t>
  </si>
  <si>
    <t>5. ボード・モジュール（仕様書 §1）</t>
  </si>
  <si>
    <t>ボード</t>
  </si>
  <si>
    <t>MCU（取得・フェーザ演算）</t>
  </si>
  <si>
    <t>NUCLEO</t>
  </si>
  <si>
    <t>NUCLEO-F446RE</t>
  </si>
  <si>
    <t>STMicroelectronics</t>
  </si>
  <si>
    <t>STM32F446RE / FPU / タイマ＋DMA</t>
  </si>
  <si>
    <t>JP5=E5V で +5V_F 給電</t>
  </si>
  <si>
    <t>WiFi通信（C37.118送信）</t>
  </si>
  <si>
    <t>ESP32</t>
  </si>
  <si>
    <t>ESP32-WROOM-32E 開発ボード</t>
  </si>
  <si>
    <t>Espressif</t>
  </si>
  <si>
    <t>3.3Vロジック / UART接続 / WiFi</t>
  </si>
  <si>
    <t>直近に470µFバルク(C44)</t>
  </si>
  <si>
    <t>GPS 時刻同期（1PPS）</t>
  </si>
  <si>
    <t>L76K</t>
  </si>
  <si>
    <t>L76K GPS HAT</t>
  </si>
  <si>
    <t>Waveshare</t>
  </si>
  <si>
    <t>GPS/GLONASS/BeiDou/QZSS / 1PPS &lt;30ns</t>
  </si>
  <si>
    <t>Piに挿さずSTM32へ配線。PPSピン要確認</t>
  </si>
  <si>
    <t>6. 参考：仕様書 §14/§15 記載の周辺部品（型番未選定・要検討）</t>
  </si>
  <si>
    <t>商用入力 主ヒューズ</t>
  </si>
  <si>
    <t>F1</t>
  </si>
  <si>
    <t>（要選定）</t>
  </si>
  <si>
    <t>AC250V / T / ceramic HBC / 3〜10A</t>
  </si>
  <si>
    <t>仕様書§14。L側に挿入</t>
  </si>
  <si>
    <t>スイッチ</t>
  </si>
  <si>
    <t>商用入力 電源スイッチ</t>
  </si>
  <si>
    <t>SW1</t>
  </si>
  <si>
    <t>AC定格スイッチ</t>
  </si>
  <si>
    <t>仕様書§14</t>
  </si>
  <si>
    <t>F1用 ヒューズホルダ</t>
  </si>
  <si>
    <t>F1ホルダ</t>
  </si>
  <si>
    <t>5×20mm / AC250V以上</t>
  </si>
  <si>
    <t>端子カバー付き推奨</t>
  </si>
  <si>
    <t>コネクタ</t>
  </si>
  <si>
    <t>外部ボード接続 ピンヘッダ</t>
  </si>
  <si>
    <t>-</t>
  </si>
  <si>
    <t>2.54mm ピンヘッダ 各種</t>
  </si>
  <si>
    <t>NUCLEO/ESP32/L76K の引き出し分</t>
  </si>
  <si>
    <t>基板</t>
  </si>
  <si>
    <t>PCB 製造</t>
  </si>
  <si>
    <t>（要発注）</t>
  </si>
  <si>
    <t>JLCPCB/Elecrow 等</t>
  </si>
  <si>
    <t>危険側/安全側の絶縁距離を確保</t>
  </si>
  <si>
    <t>機構</t>
  </si>
  <si>
    <t>絶縁ケース・端子カバー・熱収縮チューブ</t>
  </si>
  <si>
    <t>危険側を露出させない</t>
  </si>
  <si>
    <t>仕様書§14 安全設計</t>
  </si>
  <si>
    <t>合計金額</t>
  </si>
  <si>
    <t>【注意事項】</t>
  </si>
  <si>
    <t>・型番は代表例です。発注前に在庫・値・許容差/TCRコード・耐圧を必ず確認してください。</t>
  </si>
  <si>
    <t>・47nF は「473」が正（472=4.7nF は値違い。入れるとアンチエイリアス破綻）。47nF C0G は 0805 では作れないため 1206 かフィルム。</t>
  </si>
  <si>
    <t>・47nF / 1nF（AAF）は C0G/NP0 必須。X7R・電解は不可。</t>
  </si>
  <si>
    <t>・分圧/AAF抵抗は薄膜・≤50ppm を死守（厚膜200ppmはドリフト大で不可）。許容差は 0.1%→0.5% までなら緩和可。</t>
  </si>
  <si>
    <t>・電解コンデンサ（C24 / C43 / C44）は極性厳守（−をDGNDへ）。</t>
  </si>
  <si>
    <t>・ヒューズ F2 はインライン方式：AC入力ケーブルの L（活線）側に BF301 を割り込ませ、0215.500MXP を入れる。基板には実装しない。</t>
  </si>
  <si>
    <t>・本V2では AMC3302（電流用絶縁アンプ）・シャント Rsh・電流ch AAF（R12/R13/C5/C6/C7）は不要です。</t>
  </si>
  <si>
    <t>・第6節は仕様書に記載はあるが型番未確定の部品です。選定後に型番と金額を記入してください。</t>
  </si>
  <si>
    <t>代替・安価候補（コスト最適化 / 在庫切れ時）</t>
  </si>
  <si>
    <t>対象</t>
  </si>
  <si>
    <t>標準型番（本表）</t>
  </si>
  <si>
    <t>代替・安価候補</t>
  </si>
  <si>
    <t>効果・注意点</t>
  </si>
  <si>
    <t>0.1µF MLCC</t>
  </si>
  <si>
    <t>CL21B104KBCNNNC</t>
  </si>
  <si>
    <t>Samsung</t>
  </si>
  <si>
    <t>同 X5R/50V で約1/2〜1/3。耐圧50Vは維持（DCバイアス劣化のため）</t>
  </si>
  <si>
    <t>1µF MLCC</t>
  </si>
  <si>
    <t>CL21A105KBFNNNE / GRM219R61H105KA73J</t>
  </si>
  <si>
    <t>Samsung / Murata</t>
  </si>
  <si>
    <t>X5R 50V 維持。GRM219…は厚み違いの等価バリアント</t>
  </si>
  <si>
    <t>10µF MLCC</t>
  </si>
  <si>
    <t>CL21A106KAYNNNE</t>
  </si>
  <si>
    <t>低ESR必須（LDO安定・πフィルタ減衰）。25V品でOK</t>
  </si>
  <si>
    <t>47nF C0G</t>
  </si>
  <si>
    <t>FKP2 47nF/63V（フィルム）</t>
  </si>
  <si>
    <t>WIMA</t>
  </si>
  <si>
    <t>1206が大きい場合の代替。C0G相当の安定度</t>
  </si>
  <si>
    <t>1nF C0G</t>
  </si>
  <si>
    <t>CL21C102JBANNNC</t>
  </si>
  <si>
    <t>C0G 50V 維持</t>
  </si>
  <si>
    <t>100µF 電解</t>
  </si>
  <si>
    <t>UPW1C101MPD</t>
  </si>
  <si>
    <t>C43 のみ汎用105℃電解でも可（ESP32側 C24/C44 は低ESR必須）</t>
  </si>
  <si>
    <t>470µF 電解</t>
  </si>
  <si>
    <t>EEU-FR1E471（470µF/25V）</t>
  </si>
  <si>
    <t>EEU-FR1C471(16V)はDigiKeyバックオーダー。25V品はφ大きめ</t>
  </si>
  <si>
    <t>薄膜抵抗 全般</t>
  </si>
  <si>
    <t>RG2012P-xxx-B-T5</t>
  </si>
  <si>
    <t>ERA-6A 系（0.5% / 25ppm）</t>
  </si>
  <si>
    <t>許容差 0.1%→0.5% でコスト減（振幅は校正で吸収）。低ppm薄膜は維持</t>
  </si>
  <si>
    <t>LDO U4</t>
  </si>
  <si>
    <t>ADP7142ACPZ-3.3 / ADP7118AUJZ-3.3 / TPS7A20-3.3</t>
  </si>
  <si>
    <t>ADI / TI</t>
  </si>
  <si>
    <t>ACPZ は LFCSP-8・ソフトスタートピン有（開放で380µs）</t>
  </si>
  <si>
    <t>ビーズ L1</t>
  </si>
  <si>
    <t>MPZ2012S601AT(2A) / 4.7-10µH ≥2A パワーインダクタ</t>
  </si>
  <si>
    <t>TDK 他</t>
  </si>
  <si>
    <t>全電流(連続~0.7A/ピーク~1A強)が通る。信号用0603は不可</t>
  </si>
  <si>
    <t>ADC U2</t>
  </si>
  <si>
    <t>ADS131M02IPWT（小リール） / ADS131M01（1ch版）</t>
  </si>
  <si>
    <t>本V2は ch0 のみ使用のため 1ch版でも可（配線簡素）</t>
  </si>
  <si>
    <t>ヒューズホルダ</t>
  </si>
  <si>
    <t>BF303（500V/15A） / 01500274Z（10A/350V）</t>
  </si>
  <si>
    <t>MPD / Littelfuse</t>
  </si>
  <si>
    <t>在庫状況に応じて選択</t>
  </si>
  <si>
    <t>手はんだ性を上げたい</t>
  </si>
  <si>
    <t>0805 部品</t>
  </si>
  <si>
    <t>1206（RG3216P-xxx-B-T5 / GRM31…）</t>
  </si>
  <si>
    <t>手はんだ主体なら KiCad は _HandSolder 変種フットプリントを推奨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</si>
</sst>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ＭＳ Ｐゴシック"/>
      <family val="2"/>
      <scheme val="minor"/>
    </font>
    <font>
      <b/>
      <sz val="14"/>
      <color rgb="FFFFFFFF"/>
      <name val="Meiryo UI"/>
      <family val="3"/>
      <charset val="128"/>
    </font>
    <font>
      <sz val="9"/>
      <color rgb="FF555555"/>
      <name val="Meiryo UI"/>
      <family val="3"/>
      <charset val="128"/>
    </font>
    <font>
      <b/>
      <sz val="10"/>
      <color rgb="FFFFFFFF"/>
      <name val="Meiryo UI"/>
      <family val="3"/>
      <charset val="128"/>
    </font>
    <font>
      <b/>
      <sz val="10"/>
      <color rgb="FF1F3864"/>
      <name val="Meiryo UI"/>
      <family val="3"/>
      <charset val="128"/>
    </font>
    <font>
      <sz val="10"/>
      <name val="Meiryo UI"/>
      <family val="3"/>
      <charset val="128"/>
    </font>
    <font>
      <b/>
      <sz val="10"/>
      <name val="Meiryo UI"/>
      <family val="3"/>
      <charset val="128"/>
    </font>
    <font>
      <b/>
      <sz val="11"/>
      <name val="Meiryo UI"/>
      <family val="3"/>
      <charset val="128"/>
    </font>
    <font>
      <b/>
      <sz val="9"/>
      <color rgb="FF333333"/>
      <name val="Meiryo UI"/>
      <family val="3"/>
      <charset val="128"/>
    </font>
    <font>
      <b/>
      <sz val="13"/>
      <color rgb="FFFFFFFF"/>
      <name val="Meiryo UI"/>
      <family val="3"/>
      <charset val="128"/>
    </font>
    <font>
      <sz val="6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597"/>
      </patternFill>
    </fill>
    <fill>
      <patternFill patternType="solid">
        <fgColor rgb="FFD9E2F3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medium">
        <color rgb="FF808080"/>
      </top>
      <bottom style="medium">
        <color rgb="FF80808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/>
    </xf>
    <xf numFmtId="3" fontId="5" fillId="5" borderId="2" xfId="0" applyNumberFormat="1" applyFont="1" applyFill="1" applyBorder="1" applyAlignment="1">
      <alignment horizontal="right" vertical="center"/>
    </xf>
    <xf numFmtId="3" fontId="5" fillId="0" borderId="2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vertical="center" wrapText="1"/>
    </xf>
    <xf numFmtId="0" fontId="0" fillId="6" borderId="1" xfId="0" applyFill="1" applyBorder="1"/>
    <xf numFmtId="3" fontId="7" fillId="6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4" fillId="4" borderId="2" xfId="0" applyFont="1" applyFill="1" applyBorder="1" applyAlignment="1">
      <alignment horizontal="left" vertical="center"/>
    </xf>
    <xf numFmtId="0" fontId="0" fillId="4" borderId="2" xfId="0" applyFill="1" applyBorder="1"/>
    <xf numFmtId="0" fontId="2" fillId="0" borderId="0" xfId="0" applyFont="1"/>
    <xf numFmtId="0" fontId="0" fillId="0" borderId="0" xfId="0"/>
    <xf numFmtId="0" fontId="7" fillId="6" borderId="1" xfId="0" applyFont="1" applyFill="1" applyBorder="1" applyAlignment="1">
      <alignment horizontal="right" vertical="center"/>
    </xf>
    <xf numFmtId="0" fontId="0" fillId="6" borderId="1" xfId="0" applyFill="1" applyBorder="1"/>
    <xf numFmtId="0" fontId="1" fillId="2" borderId="0" xfId="0" applyFont="1" applyFill="1" applyAlignment="1">
      <alignment vertical="center"/>
    </xf>
    <xf numFmtId="0" fontId="8" fillId="0" borderId="0" xfId="0" applyFont="1"/>
    <xf numFmtId="0" fontId="9" fillId="2" borderId="0" xfId="0" applyFont="1" applyFill="1" applyAlignmen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7"/>
  <sheetViews>
    <sheetView showGridLines="0" tabSelected="1" workbookViewId="0">
      <pane ySplit="4" topLeftCell="A23" activePane="bottomLeft" state="frozen"/>
      <selection pane="bottomLeft" sqref="A1:L1"/>
    </sheetView>
  </sheetViews>
  <sheetFormatPr defaultRowHeight="13.5" x14ac:dyDescent="0.15"/>
  <cols>
    <col min="1" max="1" width="5" customWidth="1"/>
    <col min="2" max="2" width="14" customWidth="1"/>
    <col min="3" max="3" width="26" customWidth="1"/>
    <col min="4" max="4" width="20" customWidth="1"/>
    <col min="5" max="5" width="30" customWidth="1"/>
    <col min="6" max="6" width="14" customWidth="1"/>
    <col min="7" max="7" width="34" customWidth="1"/>
    <col min="8" max="8" width="7" customWidth="1"/>
    <col min="9" max="9" width="10" customWidth="1"/>
    <col min="10" max="10" width="11" customWidth="1"/>
    <col min="11" max="11" width="13" customWidth="1"/>
    <col min="12" max="12" width="26" customWidth="1"/>
  </cols>
  <sheetData>
    <row r="1" spans="1:12" ht="27.95" customHeight="1" x14ac:dyDescent="0.15">
      <c r="A1" s="20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18" customHeight="1" x14ac:dyDescent="0.2">
      <c r="A2" s="16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4" spans="1:12" ht="32.1" customHeight="1" x14ac:dyDescent="0.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 ht="20.100000000000001" customHeight="1" x14ac:dyDescent="0.15">
      <c r="A5" s="14" t="s">
        <v>14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2" ht="30" customHeight="1" x14ac:dyDescent="0.15">
      <c r="A6" s="2">
        <v>1</v>
      </c>
      <c r="B6" s="3" t="s">
        <v>15</v>
      </c>
      <c r="C6" s="4" t="s">
        <v>16</v>
      </c>
      <c r="D6" s="5" t="s">
        <v>17</v>
      </c>
      <c r="E6" s="6" t="s">
        <v>18</v>
      </c>
      <c r="F6" s="3" t="s">
        <v>19</v>
      </c>
      <c r="G6" s="4" t="s">
        <v>20</v>
      </c>
      <c r="H6" s="2">
        <v>3</v>
      </c>
      <c r="I6" s="2">
        <v>10</v>
      </c>
      <c r="J6" s="7"/>
      <c r="K6" s="8" t="str">
        <f>IF(N(J6)=0,"",I6*J6)</f>
        <v/>
      </c>
      <c r="L6" s="9" t="s">
        <v>21</v>
      </c>
    </row>
    <row r="7" spans="1:12" ht="30" customHeight="1" x14ac:dyDescent="0.15">
      <c r="A7" s="2">
        <v>2</v>
      </c>
      <c r="B7" s="3" t="s">
        <v>15</v>
      </c>
      <c r="C7" s="4" t="s">
        <v>22</v>
      </c>
      <c r="D7" s="5" t="s">
        <v>23</v>
      </c>
      <c r="E7" s="6" t="s">
        <v>24</v>
      </c>
      <c r="F7" s="3" t="s">
        <v>19</v>
      </c>
      <c r="G7" s="4" t="s">
        <v>25</v>
      </c>
      <c r="H7" s="2">
        <v>1</v>
      </c>
      <c r="I7" s="2">
        <v>5</v>
      </c>
      <c r="J7" s="7"/>
      <c r="K7" s="8" t="str">
        <f>IF(N(J7)=0,"",I7*J7)</f>
        <v/>
      </c>
      <c r="L7" s="9" t="s">
        <v>26</v>
      </c>
    </row>
    <row r="8" spans="1:12" ht="30" customHeight="1" x14ac:dyDescent="0.15">
      <c r="A8" s="2">
        <v>3</v>
      </c>
      <c r="B8" s="3" t="s">
        <v>15</v>
      </c>
      <c r="C8" s="4" t="s">
        <v>27</v>
      </c>
      <c r="D8" s="5" t="s">
        <v>28</v>
      </c>
      <c r="E8" s="6" t="s">
        <v>29</v>
      </c>
      <c r="F8" s="3" t="s">
        <v>19</v>
      </c>
      <c r="G8" s="4" t="s">
        <v>30</v>
      </c>
      <c r="H8" s="2">
        <v>2</v>
      </c>
      <c r="I8" s="2">
        <v>10</v>
      </c>
      <c r="J8" s="7"/>
      <c r="K8" s="8" t="str">
        <f>IF(N(J8)=0,"",I8*J8)</f>
        <v/>
      </c>
      <c r="L8" s="9" t="s">
        <v>31</v>
      </c>
    </row>
    <row r="9" spans="1:12" ht="20.100000000000001" customHeight="1" x14ac:dyDescent="0.15">
      <c r="A9" s="14" t="s">
        <v>32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</row>
    <row r="10" spans="1:12" ht="30" customHeight="1" x14ac:dyDescent="0.15">
      <c r="A10" s="2">
        <v>4</v>
      </c>
      <c r="B10" s="3" t="s">
        <v>33</v>
      </c>
      <c r="C10" s="4" t="s">
        <v>34</v>
      </c>
      <c r="D10" s="5" t="s">
        <v>35</v>
      </c>
      <c r="E10" s="6" t="s">
        <v>36</v>
      </c>
      <c r="F10" s="3" t="s">
        <v>37</v>
      </c>
      <c r="G10" s="4" t="s">
        <v>38</v>
      </c>
      <c r="H10" s="2">
        <v>8</v>
      </c>
      <c r="I10" s="2">
        <v>20</v>
      </c>
      <c r="J10" s="7"/>
      <c r="K10" s="8" t="str">
        <f t="shared" ref="K10:K16" si="0">IF(N(J10)=0,"",I10*J10)</f>
        <v/>
      </c>
      <c r="L10" s="9" t="s">
        <v>39</v>
      </c>
    </row>
    <row r="11" spans="1:12" ht="30" customHeight="1" x14ac:dyDescent="0.15">
      <c r="A11" s="2">
        <v>5</v>
      </c>
      <c r="B11" s="3" t="s">
        <v>33</v>
      </c>
      <c r="C11" s="4" t="s">
        <v>40</v>
      </c>
      <c r="D11" s="5" t="s">
        <v>41</v>
      </c>
      <c r="E11" s="6" t="s">
        <v>42</v>
      </c>
      <c r="F11" s="3" t="s">
        <v>37</v>
      </c>
      <c r="G11" s="4" t="s">
        <v>43</v>
      </c>
      <c r="H11" s="2">
        <v>6</v>
      </c>
      <c r="I11" s="2">
        <v>15</v>
      </c>
      <c r="J11" s="7"/>
      <c r="K11" s="8" t="str">
        <f t="shared" si="0"/>
        <v/>
      </c>
      <c r="L11" s="9" t="s">
        <v>44</v>
      </c>
    </row>
    <row r="12" spans="1:12" ht="30" customHeight="1" x14ac:dyDescent="0.15">
      <c r="A12" s="2">
        <v>6</v>
      </c>
      <c r="B12" s="3" t="s">
        <v>33</v>
      </c>
      <c r="C12" s="4" t="s">
        <v>45</v>
      </c>
      <c r="D12" s="5" t="s">
        <v>46</v>
      </c>
      <c r="E12" s="6" t="s">
        <v>47</v>
      </c>
      <c r="F12" s="3" t="s">
        <v>37</v>
      </c>
      <c r="G12" s="4" t="s">
        <v>48</v>
      </c>
      <c r="H12" s="2">
        <v>5</v>
      </c>
      <c r="I12" s="2">
        <v>15</v>
      </c>
      <c r="J12" s="7"/>
      <c r="K12" s="8" t="str">
        <f t="shared" si="0"/>
        <v/>
      </c>
      <c r="L12" s="9" t="s">
        <v>49</v>
      </c>
    </row>
    <row r="13" spans="1:12" ht="30" customHeight="1" x14ac:dyDescent="0.15">
      <c r="A13" s="2">
        <v>7</v>
      </c>
      <c r="B13" s="3" t="s">
        <v>50</v>
      </c>
      <c r="C13" s="4" t="s">
        <v>51</v>
      </c>
      <c r="D13" s="5" t="s">
        <v>52</v>
      </c>
      <c r="E13" s="6" t="s">
        <v>53</v>
      </c>
      <c r="F13" s="3" t="s">
        <v>54</v>
      </c>
      <c r="G13" s="4" t="s">
        <v>55</v>
      </c>
      <c r="H13" s="2">
        <v>2</v>
      </c>
      <c r="I13" s="2">
        <v>5</v>
      </c>
      <c r="J13" s="7"/>
      <c r="K13" s="8" t="str">
        <f t="shared" si="0"/>
        <v/>
      </c>
      <c r="L13" s="9" t="s">
        <v>56</v>
      </c>
    </row>
    <row r="14" spans="1:12" ht="30" customHeight="1" x14ac:dyDescent="0.15">
      <c r="A14" s="2">
        <v>8</v>
      </c>
      <c r="B14" s="3" t="s">
        <v>50</v>
      </c>
      <c r="C14" s="4" t="s">
        <v>57</v>
      </c>
      <c r="D14" s="5" t="s">
        <v>58</v>
      </c>
      <c r="E14" s="6" t="s">
        <v>59</v>
      </c>
      <c r="F14" s="3" t="s">
        <v>60</v>
      </c>
      <c r="G14" s="4" t="s">
        <v>61</v>
      </c>
      <c r="H14" s="2">
        <v>1</v>
      </c>
      <c r="I14" s="2">
        <v>3</v>
      </c>
      <c r="J14" s="7"/>
      <c r="K14" s="8" t="str">
        <f t="shared" si="0"/>
        <v/>
      </c>
      <c r="L14" s="9" t="s">
        <v>62</v>
      </c>
    </row>
    <row r="15" spans="1:12" ht="30" customHeight="1" x14ac:dyDescent="0.15">
      <c r="A15" s="2">
        <v>9</v>
      </c>
      <c r="B15" s="3" t="s">
        <v>33</v>
      </c>
      <c r="C15" s="4" t="s">
        <v>63</v>
      </c>
      <c r="D15" s="5" t="s">
        <v>64</v>
      </c>
      <c r="E15" s="6" t="s">
        <v>65</v>
      </c>
      <c r="F15" s="3" t="s">
        <v>66</v>
      </c>
      <c r="G15" s="4" t="s">
        <v>67</v>
      </c>
      <c r="H15" s="2">
        <v>1</v>
      </c>
      <c r="I15" s="2">
        <v>5</v>
      </c>
      <c r="J15" s="7"/>
      <c r="K15" s="8" t="str">
        <f t="shared" si="0"/>
        <v/>
      </c>
      <c r="L15" s="9" t="s">
        <v>68</v>
      </c>
    </row>
    <row r="16" spans="1:12" ht="30" customHeight="1" x14ac:dyDescent="0.15">
      <c r="A16" s="2">
        <v>10</v>
      </c>
      <c r="B16" s="3" t="s">
        <v>33</v>
      </c>
      <c r="C16" s="4" t="s">
        <v>69</v>
      </c>
      <c r="D16" s="5" t="s">
        <v>70</v>
      </c>
      <c r="E16" s="6" t="s">
        <v>71</v>
      </c>
      <c r="F16" s="3" t="s">
        <v>37</v>
      </c>
      <c r="G16" s="4" t="s">
        <v>72</v>
      </c>
      <c r="H16" s="2">
        <v>4</v>
      </c>
      <c r="I16" s="2">
        <v>10</v>
      </c>
      <c r="J16" s="7"/>
      <c r="K16" s="8" t="str">
        <f t="shared" si="0"/>
        <v/>
      </c>
      <c r="L16" s="9" t="s">
        <v>73</v>
      </c>
    </row>
    <row r="17" spans="1:12" ht="20.100000000000001" customHeight="1" x14ac:dyDescent="0.15">
      <c r="A17" s="14" t="s">
        <v>74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</row>
    <row r="18" spans="1:12" ht="30" customHeight="1" x14ac:dyDescent="0.15">
      <c r="A18" s="2">
        <v>11</v>
      </c>
      <c r="B18" s="3" t="s">
        <v>75</v>
      </c>
      <c r="C18" s="4" t="s">
        <v>76</v>
      </c>
      <c r="D18" s="5" t="s">
        <v>77</v>
      </c>
      <c r="E18" s="6" t="s">
        <v>78</v>
      </c>
      <c r="F18" s="3" t="s">
        <v>79</v>
      </c>
      <c r="G18" s="4" t="s">
        <v>80</v>
      </c>
      <c r="H18" s="2">
        <v>1</v>
      </c>
      <c r="I18" s="2">
        <v>1</v>
      </c>
      <c r="J18" s="7"/>
      <c r="K18" s="8" t="str">
        <f>IF(N(J18)=0,"",I18*J18)</f>
        <v/>
      </c>
      <c r="L18" s="9" t="s">
        <v>81</v>
      </c>
    </row>
    <row r="19" spans="1:12" ht="30" customHeight="1" x14ac:dyDescent="0.15">
      <c r="A19" s="2">
        <v>12</v>
      </c>
      <c r="B19" s="3" t="s">
        <v>75</v>
      </c>
      <c r="C19" s="4" t="s">
        <v>82</v>
      </c>
      <c r="D19" s="5" t="s">
        <v>83</v>
      </c>
      <c r="E19" s="6" t="s">
        <v>84</v>
      </c>
      <c r="F19" s="3" t="s">
        <v>79</v>
      </c>
      <c r="G19" s="4" t="s">
        <v>85</v>
      </c>
      <c r="H19" s="2">
        <v>1</v>
      </c>
      <c r="I19" s="2">
        <v>1</v>
      </c>
      <c r="J19" s="7"/>
      <c r="K19" s="8" t="str">
        <f>IF(N(J19)=0,"",I19*J19)</f>
        <v/>
      </c>
      <c r="L19" s="9" t="s">
        <v>86</v>
      </c>
    </row>
    <row r="20" spans="1:12" ht="30" customHeight="1" x14ac:dyDescent="0.15">
      <c r="A20" s="2">
        <v>13</v>
      </c>
      <c r="B20" s="3" t="s">
        <v>75</v>
      </c>
      <c r="C20" s="4" t="s">
        <v>87</v>
      </c>
      <c r="D20" s="5" t="s">
        <v>88</v>
      </c>
      <c r="E20" s="6" t="s">
        <v>89</v>
      </c>
      <c r="F20" s="3" t="s">
        <v>90</v>
      </c>
      <c r="G20" s="4" t="s">
        <v>91</v>
      </c>
      <c r="H20" s="2">
        <v>1</v>
      </c>
      <c r="I20" s="2">
        <v>2</v>
      </c>
      <c r="J20" s="7"/>
      <c r="K20" s="8" t="str">
        <f>IF(N(J20)=0,"",I20*J20)</f>
        <v/>
      </c>
      <c r="L20" s="9" t="s">
        <v>92</v>
      </c>
    </row>
    <row r="21" spans="1:12" ht="20.100000000000001" customHeight="1" x14ac:dyDescent="0.15">
      <c r="A21" s="14" t="s">
        <v>93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</row>
    <row r="22" spans="1:12" ht="30" customHeight="1" x14ac:dyDescent="0.15">
      <c r="A22" s="2">
        <v>14</v>
      </c>
      <c r="B22" s="3" t="s">
        <v>94</v>
      </c>
      <c r="C22" s="4" t="s">
        <v>95</v>
      </c>
      <c r="D22" s="5" t="s">
        <v>96</v>
      </c>
      <c r="E22" s="6" t="s">
        <v>97</v>
      </c>
      <c r="F22" s="3" t="s">
        <v>98</v>
      </c>
      <c r="G22" s="4" t="s">
        <v>99</v>
      </c>
      <c r="H22" s="2">
        <v>1</v>
      </c>
      <c r="I22" s="2">
        <v>1</v>
      </c>
      <c r="J22" s="7"/>
      <c r="K22" s="8" t="str">
        <f>IF(N(J22)=0,"",I22*J22)</f>
        <v/>
      </c>
      <c r="L22" s="9" t="s">
        <v>100</v>
      </c>
    </row>
    <row r="23" spans="1:12" ht="30" customHeight="1" x14ac:dyDescent="0.15">
      <c r="A23" s="2">
        <v>15</v>
      </c>
      <c r="B23" s="3" t="s">
        <v>101</v>
      </c>
      <c r="C23" s="4" t="s">
        <v>102</v>
      </c>
      <c r="D23" s="5" t="s">
        <v>103</v>
      </c>
      <c r="E23" s="6" t="s">
        <v>104</v>
      </c>
      <c r="F23" s="3" t="s">
        <v>37</v>
      </c>
      <c r="G23" s="4" t="s">
        <v>105</v>
      </c>
      <c r="H23" s="2">
        <v>1</v>
      </c>
      <c r="I23" s="2">
        <v>2</v>
      </c>
      <c r="J23" s="7"/>
      <c r="K23" s="8" t="str">
        <f>IF(N(J23)=0,"",I23*J23)</f>
        <v/>
      </c>
      <c r="L23" s="9" t="s">
        <v>106</v>
      </c>
    </row>
    <row r="24" spans="1:12" ht="30" customHeight="1" x14ac:dyDescent="0.15">
      <c r="A24" s="2">
        <v>16</v>
      </c>
      <c r="B24" s="3" t="s">
        <v>107</v>
      </c>
      <c r="C24" s="4" t="s">
        <v>108</v>
      </c>
      <c r="D24" s="5" t="s">
        <v>109</v>
      </c>
      <c r="E24" s="6" t="s">
        <v>110</v>
      </c>
      <c r="F24" s="3" t="s">
        <v>111</v>
      </c>
      <c r="G24" s="4" t="s">
        <v>112</v>
      </c>
      <c r="H24" s="2">
        <v>1</v>
      </c>
      <c r="I24" s="2">
        <v>2</v>
      </c>
      <c r="J24" s="7"/>
      <c r="K24" s="8" t="str">
        <f>IF(N(J24)=0,"",I24*J24)</f>
        <v/>
      </c>
      <c r="L24" s="9" t="s">
        <v>113</v>
      </c>
    </row>
    <row r="25" spans="1:12" ht="30" customHeight="1" x14ac:dyDescent="0.15">
      <c r="A25" s="2">
        <v>17</v>
      </c>
      <c r="B25" s="3" t="s">
        <v>114</v>
      </c>
      <c r="C25" s="4" t="s">
        <v>115</v>
      </c>
      <c r="D25" s="5" t="s">
        <v>116</v>
      </c>
      <c r="E25" s="6" t="s">
        <v>117</v>
      </c>
      <c r="F25" s="3" t="s">
        <v>118</v>
      </c>
      <c r="G25" s="4" t="s">
        <v>119</v>
      </c>
      <c r="H25" s="2">
        <v>1</v>
      </c>
      <c r="I25" s="2">
        <v>1</v>
      </c>
      <c r="J25" s="7"/>
      <c r="K25" s="8" t="str">
        <f>IF(N(J25)=0,"",I25*J25)</f>
        <v/>
      </c>
      <c r="L25" s="9" t="s">
        <v>120</v>
      </c>
    </row>
    <row r="26" spans="1:12" ht="20.100000000000001" customHeight="1" x14ac:dyDescent="0.15">
      <c r="A26" s="14" t="s">
        <v>121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</row>
    <row r="27" spans="1:12" ht="30" customHeight="1" x14ac:dyDescent="0.15">
      <c r="A27" s="2">
        <v>18</v>
      </c>
      <c r="B27" s="3" t="s">
        <v>122</v>
      </c>
      <c r="C27" s="4" t="s">
        <v>123</v>
      </c>
      <c r="D27" s="5" t="s">
        <v>124</v>
      </c>
      <c r="E27" s="6" t="s">
        <v>125</v>
      </c>
      <c r="F27" s="3" t="s">
        <v>126</v>
      </c>
      <c r="G27" s="4" t="s">
        <v>127</v>
      </c>
      <c r="H27" s="2">
        <v>1</v>
      </c>
      <c r="I27" s="2">
        <v>1</v>
      </c>
      <c r="J27" s="7"/>
      <c r="K27" s="8" t="str">
        <f>IF(N(J27)=0,"",I27*J27)</f>
        <v/>
      </c>
      <c r="L27" s="9" t="s">
        <v>128</v>
      </c>
    </row>
    <row r="28" spans="1:12" ht="30" customHeight="1" x14ac:dyDescent="0.15">
      <c r="A28" s="2">
        <v>19</v>
      </c>
      <c r="B28" s="3" t="s">
        <v>122</v>
      </c>
      <c r="C28" s="4" t="s">
        <v>129</v>
      </c>
      <c r="D28" s="5" t="s">
        <v>130</v>
      </c>
      <c r="E28" s="6" t="s">
        <v>131</v>
      </c>
      <c r="F28" s="3" t="s">
        <v>132</v>
      </c>
      <c r="G28" s="4" t="s">
        <v>133</v>
      </c>
      <c r="H28" s="2">
        <v>1</v>
      </c>
      <c r="I28" s="2">
        <v>1</v>
      </c>
      <c r="J28" s="7"/>
      <c r="K28" s="8" t="str">
        <f>IF(N(J28)=0,"",I28*J28)</f>
        <v/>
      </c>
      <c r="L28" s="9" t="s">
        <v>134</v>
      </c>
    </row>
    <row r="29" spans="1:12" ht="30" customHeight="1" x14ac:dyDescent="0.15">
      <c r="A29" s="2">
        <v>20</v>
      </c>
      <c r="B29" s="3" t="s">
        <v>94</v>
      </c>
      <c r="C29" s="4" t="s">
        <v>135</v>
      </c>
      <c r="D29" s="5" t="s">
        <v>136</v>
      </c>
      <c r="E29" s="6" t="s">
        <v>137</v>
      </c>
      <c r="F29" s="3" t="s">
        <v>138</v>
      </c>
      <c r="G29" s="4" t="s">
        <v>139</v>
      </c>
      <c r="H29" s="2">
        <v>1</v>
      </c>
      <c r="I29" s="2">
        <v>1</v>
      </c>
      <c r="J29" s="7"/>
      <c r="K29" s="8" t="str">
        <f>IF(N(J29)=0,"",I29*J29)</f>
        <v/>
      </c>
      <c r="L29" s="9" t="s">
        <v>140</v>
      </c>
    </row>
    <row r="30" spans="1:12" ht="20.100000000000001" customHeight="1" x14ac:dyDescent="0.15">
      <c r="A30" s="14" t="s">
        <v>141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</row>
    <row r="31" spans="1:12" ht="30" customHeight="1" x14ac:dyDescent="0.15">
      <c r="A31" s="2">
        <v>21</v>
      </c>
      <c r="B31" s="3" t="s">
        <v>107</v>
      </c>
      <c r="C31" s="4" t="s">
        <v>142</v>
      </c>
      <c r="D31" s="5" t="s">
        <v>143</v>
      </c>
      <c r="E31" s="6" t="s">
        <v>144</v>
      </c>
      <c r="F31" s="3"/>
      <c r="G31" s="4" t="s">
        <v>145</v>
      </c>
      <c r="H31" s="2">
        <v>1</v>
      </c>
      <c r="I31" s="2">
        <v>1</v>
      </c>
      <c r="J31" s="7"/>
      <c r="K31" s="8" t="str">
        <f t="shared" ref="K31:K36" si="1">IF(N(J31)=0,"",I31*J31)</f>
        <v/>
      </c>
      <c r="L31" s="9" t="s">
        <v>146</v>
      </c>
    </row>
    <row r="32" spans="1:12" ht="30" customHeight="1" x14ac:dyDescent="0.15">
      <c r="A32" s="2">
        <v>22</v>
      </c>
      <c r="B32" s="3" t="s">
        <v>147</v>
      </c>
      <c r="C32" s="4" t="s">
        <v>148</v>
      </c>
      <c r="D32" s="5" t="s">
        <v>149</v>
      </c>
      <c r="E32" s="6" t="s">
        <v>144</v>
      </c>
      <c r="F32" s="3"/>
      <c r="G32" s="4" t="s">
        <v>150</v>
      </c>
      <c r="H32" s="2">
        <v>1</v>
      </c>
      <c r="I32" s="2">
        <v>1</v>
      </c>
      <c r="J32" s="7"/>
      <c r="K32" s="8" t="str">
        <f t="shared" si="1"/>
        <v/>
      </c>
      <c r="L32" s="9" t="s">
        <v>151</v>
      </c>
    </row>
    <row r="33" spans="1:12" ht="30" customHeight="1" x14ac:dyDescent="0.15">
      <c r="A33" s="2">
        <v>23</v>
      </c>
      <c r="B33" s="3" t="s">
        <v>114</v>
      </c>
      <c r="C33" s="4" t="s">
        <v>152</v>
      </c>
      <c r="D33" s="5" t="s">
        <v>153</v>
      </c>
      <c r="E33" s="6" t="s">
        <v>144</v>
      </c>
      <c r="F33" s="3"/>
      <c r="G33" s="4" t="s">
        <v>154</v>
      </c>
      <c r="H33" s="2">
        <v>1</v>
      </c>
      <c r="I33" s="2">
        <v>1</v>
      </c>
      <c r="J33" s="7"/>
      <c r="K33" s="8" t="str">
        <f t="shared" si="1"/>
        <v/>
      </c>
      <c r="L33" s="9" t="s">
        <v>155</v>
      </c>
    </row>
    <row r="34" spans="1:12" ht="30" customHeight="1" x14ac:dyDescent="0.15">
      <c r="A34" s="2">
        <v>24</v>
      </c>
      <c r="B34" s="3" t="s">
        <v>156</v>
      </c>
      <c r="C34" s="4" t="s">
        <v>157</v>
      </c>
      <c r="D34" s="5" t="s">
        <v>158</v>
      </c>
      <c r="E34" s="6" t="s">
        <v>144</v>
      </c>
      <c r="F34" s="3"/>
      <c r="G34" s="4" t="s">
        <v>159</v>
      </c>
      <c r="H34" s="2">
        <v>1</v>
      </c>
      <c r="I34" s="2">
        <v>1</v>
      </c>
      <c r="J34" s="7"/>
      <c r="K34" s="8" t="str">
        <f t="shared" si="1"/>
        <v/>
      </c>
      <c r="L34" s="9" t="s">
        <v>160</v>
      </c>
    </row>
    <row r="35" spans="1:12" ht="30" customHeight="1" x14ac:dyDescent="0.15">
      <c r="A35" s="2">
        <v>25</v>
      </c>
      <c r="B35" s="3" t="s">
        <v>161</v>
      </c>
      <c r="C35" s="4" t="s">
        <v>162</v>
      </c>
      <c r="D35" s="5" t="s">
        <v>158</v>
      </c>
      <c r="E35" s="6" t="s">
        <v>163</v>
      </c>
      <c r="F35" s="3"/>
      <c r="G35" s="4" t="s">
        <v>164</v>
      </c>
      <c r="H35" s="2">
        <v>1</v>
      </c>
      <c r="I35" s="2">
        <v>1</v>
      </c>
      <c r="J35" s="7"/>
      <c r="K35" s="8" t="str">
        <f t="shared" si="1"/>
        <v/>
      </c>
      <c r="L35" s="9" t="s">
        <v>165</v>
      </c>
    </row>
    <row r="36" spans="1:12" ht="30" customHeight="1" x14ac:dyDescent="0.15">
      <c r="A36" s="2">
        <v>26</v>
      </c>
      <c r="B36" s="3" t="s">
        <v>166</v>
      </c>
      <c r="C36" s="4" t="s">
        <v>167</v>
      </c>
      <c r="D36" s="5" t="s">
        <v>158</v>
      </c>
      <c r="E36" s="6" t="s">
        <v>144</v>
      </c>
      <c r="F36" s="3"/>
      <c r="G36" s="4" t="s">
        <v>168</v>
      </c>
      <c r="H36" s="2">
        <v>1</v>
      </c>
      <c r="I36" s="2">
        <v>1</v>
      </c>
      <c r="J36" s="7"/>
      <c r="K36" s="8" t="str">
        <f t="shared" si="1"/>
        <v/>
      </c>
      <c r="L36" s="9" t="s">
        <v>169</v>
      </c>
    </row>
    <row r="37" spans="1:12" ht="24" customHeight="1" x14ac:dyDescent="0.15">
      <c r="A37" s="18" t="s">
        <v>170</v>
      </c>
      <c r="B37" s="19"/>
      <c r="C37" s="19"/>
      <c r="D37" s="19"/>
      <c r="E37" s="19"/>
      <c r="F37" s="19"/>
      <c r="G37" s="19"/>
      <c r="H37" s="19"/>
      <c r="I37" s="19"/>
      <c r="J37" s="19"/>
      <c r="K37" s="11">
        <f>SUM(K6:K36)</f>
        <v>0</v>
      </c>
      <c r="L37" s="10"/>
    </row>
    <row r="39" spans="1:12" ht="14.25" x14ac:dyDescent="0.2">
      <c r="A39" s="21" t="s">
        <v>171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</row>
    <row r="40" spans="1:12" ht="14.25" x14ac:dyDescent="0.2">
      <c r="A40" s="16" t="s">
        <v>172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</row>
    <row r="41" spans="1:12" ht="14.25" x14ac:dyDescent="0.2">
      <c r="A41" s="16" t="s">
        <v>173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</row>
    <row r="42" spans="1:12" ht="14.25" x14ac:dyDescent="0.2">
      <c r="A42" s="16" t="s">
        <v>174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</row>
    <row r="43" spans="1:12" ht="14.25" x14ac:dyDescent="0.2">
      <c r="A43" s="16" t="s">
        <v>175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</row>
    <row r="44" spans="1:12" ht="14.25" x14ac:dyDescent="0.2">
      <c r="A44" s="16" t="s">
        <v>176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</row>
    <row r="45" spans="1:12" ht="14.25" x14ac:dyDescent="0.2">
      <c r="A45" s="16" t="s">
        <v>177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</row>
    <row r="46" spans="1:12" ht="14.25" x14ac:dyDescent="0.2">
      <c r="A46" s="16" t="s">
        <v>178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</row>
    <row r="47" spans="1:12" ht="14.25" x14ac:dyDescent="0.2">
      <c r="A47" s="16" t="s">
        <v>179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</row>
  </sheetData>
  <autoFilter ref="A4:L36" xr:uid="{00000000-0009-0000-0000-000000000000}"/>
  <mergeCells count="18">
    <mergeCell ref="A43:L43"/>
    <mergeCell ref="A41:L41"/>
    <mergeCell ref="A47:L47"/>
    <mergeCell ref="A1:L1"/>
    <mergeCell ref="A5:L5"/>
    <mergeCell ref="A45:L45"/>
    <mergeCell ref="A46:L46"/>
    <mergeCell ref="A44:L44"/>
    <mergeCell ref="A17:L17"/>
    <mergeCell ref="A9:L9"/>
    <mergeCell ref="A40:L40"/>
    <mergeCell ref="A21:L21"/>
    <mergeCell ref="A39:L39"/>
    <mergeCell ref="A26:L26"/>
    <mergeCell ref="A30:L30"/>
    <mergeCell ref="A2:L2"/>
    <mergeCell ref="A37:J37"/>
    <mergeCell ref="A42:L42"/>
  </mergeCells>
  <phoneticPr fontId="10"/>
  <pageMargins left="0.75" right="0.75" top="1" bottom="1" header="0.5" footer="0.5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showGridLines="0" workbookViewId="0">
      <pane ySplit="3" topLeftCell="A4" activePane="bottomLeft" state="frozen"/>
      <selection pane="bottomLeft"/>
    </sheetView>
  </sheetViews>
  <sheetFormatPr defaultRowHeight="13.5" x14ac:dyDescent="0.15"/>
  <cols>
    <col min="1" max="1" width="26" customWidth="1"/>
    <col min="2" max="2" width="30" customWidth="1"/>
    <col min="3" max="3" width="34" customWidth="1"/>
    <col min="4" max="4" width="18" customWidth="1"/>
    <col min="5" max="5" width="52" customWidth="1"/>
  </cols>
  <sheetData>
    <row r="1" spans="1:5" ht="26.1" customHeight="1" x14ac:dyDescent="0.15">
      <c r="A1" s="22" t="s">
        <v>180</v>
      </c>
      <c r="B1" s="17"/>
      <c r="C1" s="17"/>
      <c r="D1" s="17"/>
      <c r="E1" s="17"/>
    </row>
    <row r="3" spans="1:5" ht="24" customHeight="1" x14ac:dyDescent="0.15">
      <c r="A3" s="12" t="s">
        <v>181</v>
      </c>
      <c r="B3" s="12" t="s">
        <v>182</v>
      </c>
      <c r="C3" s="12" t="s">
        <v>183</v>
      </c>
      <c r="D3" s="12" t="s">
        <v>7</v>
      </c>
      <c r="E3" s="12" t="s">
        <v>184</v>
      </c>
    </row>
    <row r="4" spans="1:5" ht="30" customHeight="1" x14ac:dyDescent="0.15">
      <c r="A4" s="4" t="s">
        <v>185</v>
      </c>
      <c r="B4" s="4" t="s">
        <v>36</v>
      </c>
      <c r="C4" s="13" t="s">
        <v>186</v>
      </c>
      <c r="D4" s="4" t="s">
        <v>187</v>
      </c>
      <c r="E4" s="4" t="s">
        <v>188</v>
      </c>
    </row>
    <row r="5" spans="1:5" ht="30" customHeight="1" x14ac:dyDescent="0.15">
      <c r="A5" s="4" t="s">
        <v>189</v>
      </c>
      <c r="B5" s="4" t="s">
        <v>42</v>
      </c>
      <c r="C5" s="13" t="s">
        <v>190</v>
      </c>
      <c r="D5" s="4" t="s">
        <v>191</v>
      </c>
      <c r="E5" s="4" t="s">
        <v>192</v>
      </c>
    </row>
    <row r="6" spans="1:5" ht="30" customHeight="1" x14ac:dyDescent="0.15">
      <c r="A6" s="4" t="s">
        <v>193</v>
      </c>
      <c r="B6" s="4" t="s">
        <v>47</v>
      </c>
      <c r="C6" s="13" t="s">
        <v>194</v>
      </c>
      <c r="D6" s="4" t="s">
        <v>187</v>
      </c>
      <c r="E6" s="4" t="s">
        <v>195</v>
      </c>
    </row>
    <row r="7" spans="1:5" ht="30" customHeight="1" x14ac:dyDescent="0.15">
      <c r="A7" s="4" t="s">
        <v>196</v>
      </c>
      <c r="B7" s="4" t="s">
        <v>65</v>
      </c>
      <c r="C7" s="13" t="s">
        <v>197</v>
      </c>
      <c r="D7" s="4" t="s">
        <v>198</v>
      </c>
      <c r="E7" s="4" t="s">
        <v>199</v>
      </c>
    </row>
    <row r="8" spans="1:5" ht="30" customHeight="1" x14ac:dyDescent="0.15">
      <c r="A8" s="4" t="s">
        <v>200</v>
      </c>
      <c r="B8" s="4" t="s">
        <v>71</v>
      </c>
      <c r="C8" s="13" t="s">
        <v>201</v>
      </c>
      <c r="D8" s="4" t="s">
        <v>187</v>
      </c>
      <c r="E8" s="4" t="s">
        <v>202</v>
      </c>
    </row>
    <row r="9" spans="1:5" ht="30" customHeight="1" x14ac:dyDescent="0.15">
      <c r="A9" s="4" t="s">
        <v>203</v>
      </c>
      <c r="B9" s="4" t="s">
        <v>53</v>
      </c>
      <c r="C9" s="13" t="s">
        <v>204</v>
      </c>
      <c r="D9" s="4" t="s">
        <v>60</v>
      </c>
      <c r="E9" s="4" t="s">
        <v>205</v>
      </c>
    </row>
    <row r="10" spans="1:5" ht="30" customHeight="1" x14ac:dyDescent="0.15">
      <c r="A10" s="4" t="s">
        <v>206</v>
      </c>
      <c r="B10" s="4" t="s">
        <v>59</v>
      </c>
      <c r="C10" s="13" t="s">
        <v>207</v>
      </c>
      <c r="D10" s="4" t="s">
        <v>54</v>
      </c>
      <c r="E10" s="4" t="s">
        <v>208</v>
      </c>
    </row>
    <row r="11" spans="1:5" ht="30" customHeight="1" x14ac:dyDescent="0.15">
      <c r="A11" s="4" t="s">
        <v>209</v>
      </c>
      <c r="B11" s="4" t="s">
        <v>210</v>
      </c>
      <c r="C11" s="13" t="s">
        <v>211</v>
      </c>
      <c r="D11" s="4" t="s">
        <v>54</v>
      </c>
      <c r="E11" s="4" t="s">
        <v>212</v>
      </c>
    </row>
    <row r="12" spans="1:5" ht="30" customHeight="1" x14ac:dyDescent="0.15">
      <c r="A12" s="4" t="s">
        <v>213</v>
      </c>
      <c r="B12" s="4" t="s">
        <v>89</v>
      </c>
      <c r="C12" s="13" t="s">
        <v>214</v>
      </c>
      <c r="D12" s="4" t="s">
        <v>215</v>
      </c>
      <c r="E12" s="4" t="s">
        <v>216</v>
      </c>
    </row>
    <row r="13" spans="1:5" ht="30" customHeight="1" x14ac:dyDescent="0.15">
      <c r="A13" s="4" t="s">
        <v>217</v>
      </c>
      <c r="B13" s="4" t="s">
        <v>104</v>
      </c>
      <c r="C13" s="13" t="s">
        <v>218</v>
      </c>
      <c r="D13" s="4" t="s">
        <v>219</v>
      </c>
      <c r="E13" s="4" t="s">
        <v>220</v>
      </c>
    </row>
    <row r="14" spans="1:5" ht="30" customHeight="1" x14ac:dyDescent="0.15">
      <c r="A14" s="4" t="s">
        <v>221</v>
      </c>
      <c r="B14" s="4" t="s">
        <v>84</v>
      </c>
      <c r="C14" s="13" t="s">
        <v>222</v>
      </c>
      <c r="D14" s="4" t="s">
        <v>79</v>
      </c>
      <c r="E14" s="4" t="s">
        <v>223</v>
      </c>
    </row>
    <row r="15" spans="1:5" ht="30" customHeight="1" x14ac:dyDescent="0.15">
      <c r="A15" s="4" t="s">
        <v>224</v>
      </c>
      <c r="B15" s="4" t="s">
        <v>117</v>
      </c>
      <c r="C15" s="13" t="s">
        <v>225</v>
      </c>
      <c r="D15" s="4" t="s">
        <v>226</v>
      </c>
      <c r="E15" s="4" t="s">
        <v>227</v>
      </c>
    </row>
    <row r="16" spans="1:5" ht="30" customHeight="1" x14ac:dyDescent="0.15">
      <c r="A16" s="4" t="s">
        <v>228</v>
      </c>
      <c r="B16" s="4" t="s">
        <v>229</v>
      </c>
      <c r="C16" s="13" t="s">
        <v>230</v>
      </c>
      <c r="D16" s="4" t="s">
        <v>158</v>
      </c>
      <c r="E16" s="4" t="s">
        <v>231</v>
      </c>
    </row>
  </sheetData>
  <mergeCells count="1">
    <mergeCell ref="A1:E1"/>
  </mergeCells>
  <phoneticPr fontId="1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部品表</vt:lpstr>
      <vt:lpstr>代替・安価候補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System Power</cp:lastModifiedBy>
  <dcterms:created xsi:type="dcterms:W3CDTF">2026-08-16T07:49:41Z</dcterms:created>
  <dcterms:modified xsi:type="dcterms:W3CDTF">2026-08-16T07:55:57Z</dcterms:modified>
</cp:coreProperties>
</file>